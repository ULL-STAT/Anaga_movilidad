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encia_investigacion\borradores_TITSA\anaga\repo\"/>
    </mc:Choice>
  </mc:AlternateContent>
  <xr:revisionPtr revIDLastSave="0" documentId="13_ncr:1_{F1A7BC94-5823-40D5-B586-326B471B2148}" xr6:coauthVersionLast="47" xr6:coauthVersionMax="47" xr10:uidLastSave="{00000000-0000-0000-0000-000000000000}"/>
  <bookViews>
    <workbookView xWindow="39570" yWindow="1170" windowWidth="28800" windowHeight="15435" xr2:uid="{00000000-000D-0000-FFFF-FFFF00000000}"/>
  </bookViews>
  <sheets>
    <sheet name="Nucleos_pequeños" sheetId="16" r:id="rId1"/>
    <sheet name="Nucleos grandes (sin Tegueste)" sheetId="14" r:id="rId2"/>
    <sheet name="Nucleos grandes (inc. Tegueste)" sheetId="15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16" l="1"/>
  <c r="D28" i="16"/>
  <c r="C28" i="16"/>
  <c r="G21" i="16" s="1"/>
  <c r="E28" i="15"/>
  <c r="D28" i="15"/>
  <c r="C28" i="15"/>
  <c r="G18" i="15" s="1"/>
  <c r="C20" i="14"/>
  <c r="D20" i="14"/>
  <c r="E20" i="14"/>
  <c r="H28" i="16" a="1"/>
  <c r="H28" i="15" a="1"/>
  <c r="H20" i="14" a="1"/>
  <c r="G19" i="16" l="1"/>
  <c r="G9" i="16"/>
  <c r="G10" i="16"/>
  <c r="G11" i="16"/>
  <c r="G12" i="16"/>
  <c r="G15" i="16"/>
  <c r="G16" i="16"/>
  <c r="G17" i="16"/>
  <c r="G18" i="16"/>
  <c r="G22" i="16"/>
  <c r="G23" i="16"/>
  <c r="G24" i="16"/>
  <c r="G25" i="16"/>
  <c r="G26" i="16"/>
  <c r="H28" i="16"/>
  <c r="G13" i="16"/>
  <c r="G14" i="16"/>
  <c r="G20" i="16"/>
  <c r="G16" i="15"/>
  <c r="G12" i="15"/>
  <c r="G19" i="15"/>
  <c r="G9" i="15"/>
  <c r="G11" i="15"/>
  <c r="G14" i="15"/>
  <c r="G22" i="15"/>
  <c r="G25" i="15"/>
  <c r="G21" i="15"/>
  <c r="G24" i="15"/>
  <c r="G10" i="15"/>
  <c r="G15" i="15"/>
  <c r="G20" i="15"/>
  <c r="G23" i="15"/>
  <c r="G26" i="15"/>
  <c r="H28" i="15"/>
  <c r="I9" i="15" s="1"/>
  <c r="G17" i="15"/>
  <c r="G13" i="15"/>
  <c r="H20" i="14"/>
  <c r="G17" i="14"/>
  <c r="G28" i="16" l="1"/>
  <c r="H15" i="16"/>
  <c r="I21" i="16"/>
  <c r="H21" i="16"/>
  <c r="I14" i="16"/>
  <c r="I9" i="16"/>
  <c r="H22" i="16"/>
  <c r="H14" i="16"/>
  <c r="I20" i="16"/>
  <c r="H20" i="16"/>
  <c r="I13" i="16"/>
  <c r="I26" i="16"/>
  <c r="I19" i="16"/>
  <c r="I12" i="16"/>
  <c r="H12" i="16"/>
  <c r="H24" i="16"/>
  <c r="H17" i="16"/>
  <c r="H10" i="16"/>
  <c r="I23" i="16"/>
  <c r="I16" i="16"/>
  <c r="H16" i="16"/>
  <c r="H9" i="16"/>
  <c r="H13" i="16"/>
  <c r="H26" i="16"/>
  <c r="H18" i="16"/>
  <c r="I24" i="16"/>
  <c r="I17" i="16"/>
  <c r="H19" i="16"/>
  <c r="H11" i="16"/>
  <c r="H23" i="16"/>
  <c r="I25" i="16"/>
  <c r="I18" i="16"/>
  <c r="I15" i="16"/>
  <c r="I11" i="16"/>
  <c r="I22" i="16"/>
  <c r="I10" i="16"/>
  <c r="H25" i="16"/>
  <c r="G28" i="15"/>
  <c r="I20" i="15"/>
  <c r="I25" i="15"/>
  <c r="I24" i="15"/>
  <c r="I22" i="15"/>
  <c r="I19" i="15"/>
  <c r="I26" i="15"/>
  <c r="I23" i="15"/>
  <c r="I21" i="15"/>
  <c r="H25" i="15"/>
  <c r="H26" i="15"/>
  <c r="H24" i="15"/>
  <c r="H23" i="15"/>
  <c r="H21" i="15"/>
  <c r="H22" i="15"/>
  <c r="H20" i="15"/>
  <c r="H19" i="15"/>
  <c r="I13" i="15"/>
  <c r="H17" i="15"/>
  <c r="H10" i="15"/>
  <c r="I11" i="15"/>
  <c r="I10" i="15"/>
  <c r="H9" i="15"/>
  <c r="H13" i="15"/>
  <c r="H16" i="15"/>
  <c r="I17" i="15"/>
  <c r="I12" i="15"/>
  <c r="H12" i="15"/>
  <c r="H11" i="15"/>
  <c r="I16" i="15"/>
  <c r="H15" i="15"/>
  <c r="I15" i="15"/>
  <c r="I14" i="15"/>
  <c r="I18" i="15"/>
  <c r="H18" i="15"/>
  <c r="H14" i="15"/>
  <c r="G15" i="14"/>
  <c r="G13" i="14"/>
  <c r="G16" i="14"/>
  <c r="G9" i="14"/>
  <c r="H9" i="14"/>
  <c r="G14" i="14"/>
  <c r="G12" i="14"/>
  <c r="G11" i="14"/>
  <c r="G18" i="14"/>
  <c r="G10" i="14"/>
  <c r="J10" i="16" l="1"/>
  <c r="K10" i="16"/>
  <c r="K22" i="16"/>
  <c r="J22" i="16"/>
  <c r="L22" i="16" s="1"/>
  <c r="J11" i="16"/>
  <c r="K11" i="16"/>
  <c r="K15" i="16"/>
  <c r="J15" i="16"/>
  <c r="K18" i="16"/>
  <c r="J18" i="16"/>
  <c r="K25" i="16"/>
  <c r="J25" i="16"/>
  <c r="K17" i="16"/>
  <c r="J17" i="16"/>
  <c r="K24" i="16"/>
  <c r="J24" i="16"/>
  <c r="J23" i="16"/>
  <c r="L23" i="16" s="1"/>
  <c r="K23" i="16"/>
  <c r="K12" i="16"/>
  <c r="J12" i="16"/>
  <c r="J19" i="16"/>
  <c r="K19" i="16"/>
  <c r="J26" i="16"/>
  <c r="K26" i="16"/>
  <c r="K13" i="16"/>
  <c r="J13" i="16"/>
  <c r="K20" i="16"/>
  <c r="J20" i="16"/>
  <c r="I28" i="16"/>
  <c r="J9" i="16"/>
  <c r="K9" i="16"/>
  <c r="K14" i="16"/>
  <c r="J14" i="16"/>
  <c r="J21" i="16"/>
  <c r="K21" i="16"/>
  <c r="K16" i="16"/>
  <c r="J16" i="16"/>
  <c r="L16" i="16" s="1"/>
  <c r="I28" i="15"/>
  <c r="K21" i="15"/>
  <c r="J21" i="15"/>
  <c r="L21" i="15" s="1"/>
  <c r="K23" i="15"/>
  <c r="J23" i="15"/>
  <c r="K26" i="15"/>
  <c r="J26" i="15"/>
  <c r="K19" i="15"/>
  <c r="J19" i="15"/>
  <c r="J22" i="15"/>
  <c r="K22" i="15"/>
  <c r="J24" i="15"/>
  <c r="K24" i="15"/>
  <c r="K25" i="15"/>
  <c r="J25" i="15"/>
  <c r="K20" i="15"/>
  <c r="J20" i="15"/>
  <c r="K18" i="15"/>
  <c r="J18" i="15"/>
  <c r="K14" i="15"/>
  <c r="J14" i="15"/>
  <c r="J15" i="15"/>
  <c r="K15" i="15"/>
  <c r="K9" i="15"/>
  <c r="J9" i="15"/>
  <c r="J16" i="15"/>
  <c r="K16" i="15"/>
  <c r="J12" i="15"/>
  <c r="K12" i="15"/>
  <c r="J17" i="15"/>
  <c r="K17" i="15"/>
  <c r="K10" i="15"/>
  <c r="J10" i="15"/>
  <c r="K11" i="15"/>
  <c r="J11" i="15"/>
  <c r="K13" i="15"/>
  <c r="J13" i="15"/>
  <c r="G20" i="14"/>
  <c r="I14" i="14"/>
  <c r="H12" i="14"/>
  <c r="I10" i="14"/>
  <c r="I18" i="14"/>
  <c r="H16" i="14"/>
  <c r="I15" i="14"/>
  <c r="H13" i="14"/>
  <c r="I13" i="14"/>
  <c r="I16" i="14"/>
  <c r="H14" i="14"/>
  <c r="I17" i="14"/>
  <c r="H15" i="14"/>
  <c r="H18" i="14"/>
  <c r="H11" i="14"/>
  <c r="I11" i="14"/>
  <c r="I9" i="14"/>
  <c r="H17" i="14"/>
  <c r="I12" i="14"/>
  <c r="H10" i="14"/>
  <c r="L20" i="16" l="1"/>
  <c r="L10" i="16"/>
  <c r="L24" i="16"/>
  <c r="L12" i="16"/>
  <c r="L21" i="16"/>
  <c r="L14" i="16"/>
  <c r="K28" i="16"/>
  <c r="J28" i="16"/>
  <c r="L9" i="16"/>
  <c r="L13" i="16"/>
  <c r="L26" i="16"/>
  <c r="L19" i="16"/>
  <c r="L20" i="15"/>
  <c r="L17" i="16"/>
  <c r="L25" i="15"/>
  <c r="L25" i="16"/>
  <c r="L18" i="16"/>
  <c r="L15" i="16"/>
  <c r="L19" i="15"/>
  <c r="L11" i="16"/>
  <c r="L26" i="15"/>
  <c r="L23" i="15"/>
  <c r="L24" i="15"/>
  <c r="L22" i="15"/>
  <c r="J28" i="15"/>
  <c r="K28" i="15"/>
  <c r="L11" i="15"/>
  <c r="L13" i="15"/>
  <c r="L10" i="15"/>
  <c r="L17" i="15"/>
  <c r="L12" i="15"/>
  <c r="L16" i="15"/>
  <c r="L9" i="15"/>
  <c r="L15" i="15"/>
  <c r="L14" i="15"/>
  <c r="L18" i="15"/>
  <c r="I20" i="14"/>
  <c r="J15" i="14"/>
  <c r="K15" i="14"/>
  <c r="K18" i="14"/>
  <c r="J18" i="14"/>
  <c r="J17" i="14"/>
  <c r="K17" i="14"/>
  <c r="K10" i="14"/>
  <c r="J10" i="14"/>
  <c r="K12" i="14"/>
  <c r="J12" i="14"/>
  <c r="K16" i="14"/>
  <c r="J16" i="14"/>
  <c r="K14" i="14"/>
  <c r="J14" i="14"/>
  <c r="J11" i="14"/>
  <c r="K11" i="14"/>
  <c r="K9" i="14"/>
  <c r="J9" i="14"/>
  <c r="J13" i="14"/>
  <c r="K13" i="14"/>
  <c r="L28" i="16" l="1"/>
  <c r="L28" i="15"/>
  <c r="J20" i="14"/>
  <c r="K20" i="14"/>
  <c r="L14" i="14"/>
  <c r="L18" i="14"/>
  <c r="L12" i="14"/>
  <c r="L10" i="14"/>
  <c r="L13" i="14"/>
  <c r="L11" i="14"/>
  <c r="L17" i="14"/>
  <c r="L16" i="14"/>
  <c r="L9" i="14"/>
  <c r="L15" i="14"/>
  <c r="L20" i="1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<sst xmlns="http://schemas.openxmlformats.org/spreadsheetml/2006/main" count="118" uniqueCount="59">
  <si>
    <t>SAN ANDRÉS</t>
  </si>
  <si>
    <t>IGUESTE DE SAN ANDRES</t>
  </si>
  <si>
    <t>LAS GAVIOTAS</t>
  </si>
  <si>
    <t>LADERA DE SAN ANDRÉS</t>
  </si>
  <si>
    <t>EL SUCULUM</t>
  </si>
  <si>
    <t>JARDINA</t>
  </si>
  <si>
    <t>CATALANES</t>
  </si>
  <si>
    <t>LAS MERCEDES</t>
  </si>
  <si>
    <t>CASAS DE LA CUMBRE</t>
  </si>
  <si>
    <t>LOMO DE LAS BODEGAS</t>
  </si>
  <si>
    <t>PEDRO ÁLVAREZ</t>
  </si>
  <si>
    <t>FARIA</t>
  </si>
  <si>
    <t>ROQUE NEGRO</t>
  </si>
  <si>
    <t>TEGUESTE</t>
  </si>
  <si>
    <t>EL BALDÍO</t>
  </si>
  <si>
    <t>LOMO DE PEDRO ÁLVAREZ</t>
  </si>
  <si>
    <t>CHAMORGA</t>
  </si>
  <si>
    <t>LAS TOSCAS</t>
  </si>
  <si>
    <t>TAGANANA</t>
  </si>
  <si>
    <t>AZANOS</t>
  </si>
  <si>
    <t>FAJANETAS</t>
  </si>
  <si>
    <t>TEGUESTE CASCO</t>
  </si>
  <si>
    <t>LOS LAURELES</t>
  </si>
  <si>
    <t>AFUR</t>
  </si>
  <si>
    <t>ALMÁCIGA</t>
  </si>
  <si>
    <t>BENIJO</t>
  </si>
  <si>
    <t>EL GOMERO;TAMARCO</t>
  </si>
  <si>
    <t>EL GOMERO</t>
  </si>
  <si>
    <t>EL MURGAÑO</t>
  </si>
  <si>
    <t>TAMARCO</t>
  </si>
  <si>
    <t>LAS MONTAÑAS</t>
  </si>
  <si>
    <t>LOS BATANES</t>
  </si>
  <si>
    <t>TACHERO</t>
  </si>
  <si>
    <t>LAS CARBONERAS</t>
  </si>
  <si>
    <t>TABORNO</t>
  </si>
  <si>
    <t>CHINAMADA</t>
  </si>
  <si>
    <t>BAJAMAR</t>
  </si>
  <si>
    <t>PUNTA DEL HIDALGO</t>
  </si>
  <si>
    <t xml:space="preserve">Margen de error </t>
  </si>
  <si>
    <t>Nivel de confianza</t>
  </si>
  <si>
    <t>Se asume que la proporción poblacional P=Q=50%</t>
  </si>
  <si>
    <t>Tamaño submuestra</t>
  </si>
  <si>
    <t>Tamaño submuestra final</t>
  </si>
  <si>
    <t>Población residente</t>
  </si>
  <si>
    <t>Hombres</t>
  </si>
  <si>
    <t>Mujeres</t>
  </si>
  <si>
    <t>Total</t>
  </si>
  <si>
    <t xml:space="preserve">Ponderación </t>
  </si>
  <si>
    <t>Entidad de población</t>
  </si>
  <si>
    <t>Submuestra Hombres</t>
  </si>
  <si>
    <t>Submuestra Mujeres</t>
  </si>
  <si>
    <t>RESTO DE TAGANANA</t>
  </si>
  <si>
    <t>RESTO DE PEDRO ÁLVAREZ</t>
  </si>
  <si>
    <t>Núcleo</t>
  </si>
  <si>
    <t>RESTO DE SAN ANDRÉS</t>
  </si>
  <si>
    <t>MUESTREO ALEATORIO POR NÚCLEOS DE POBLACIÓN</t>
  </si>
  <si>
    <t>CON &gt;1,000 HABITANTES (no incluye TEGUESTE)</t>
  </si>
  <si>
    <t>CON &gt;1,000 HABITANTES (se incluye TEGUESTE)</t>
  </si>
  <si>
    <t>CON &lt;1,000 HABITANTES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</si>
</sst>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0" fontId="0" fillId="0" borderId="0" xfId="0" applyNumberFormat="1"/>
    <xf numFmtId="0" fontId="1" fillId="0" borderId="0" xfId="0" applyFont="1"/>
    <xf numFmtId="3" fontId="0" fillId="0" borderId="0" xfId="0" applyNumberFormat="1"/>
    <xf numFmtId="3" fontId="1" fillId="0" borderId="0" xfId="0" applyNumberFormat="1" applyFont="1"/>
    <xf numFmtId="0" fontId="0" fillId="2" borderId="0" xfId="0" applyFill="1"/>
    <xf numFmtId="9" fontId="1" fillId="0" borderId="0" xfId="0" applyNumberFormat="1" applyFont="1"/>
    <xf numFmtId="0" fontId="1" fillId="0" borderId="1" xfId="0" applyFont="1" applyBorder="1" applyAlignment="1">
      <alignment wrapText="1"/>
    </xf>
    <xf numFmtId="0" fontId="0" fillId="0" borderId="1" xfId="0" applyBorder="1"/>
    <xf numFmtId="3" fontId="0" fillId="0" borderId="1" xfId="0" applyNumberFormat="1" applyBorder="1"/>
    <xf numFmtId="10" fontId="0" fillId="0" borderId="1" xfId="0" applyNumberFormat="1" applyBorder="1"/>
    <xf numFmtId="0" fontId="0" fillId="2" borderId="1" xfId="0" applyFill="1" applyBorder="1"/>
    <xf numFmtId="0" fontId="1" fillId="0" borderId="1" xfId="0" applyFont="1" applyBorder="1"/>
    <xf numFmtId="3" fontId="1" fillId="0" borderId="1" xfId="0" applyNumberFormat="1" applyFont="1" applyBorder="1"/>
    <xf numFmtId="9" fontId="1" fillId="0" borderId="1" xfId="0" applyNumberFormat="1" applyFont="1" applyBorder="1"/>
    <xf numFmtId="3" fontId="1" fillId="2" borderId="1" xfId="0" applyNumberFormat="1" applyFont="1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22C8F-DAB0-4AC4-A7E2-9E636A0BDCA1}">
  <dimension ref="A1:L33"/>
  <sheetViews>
    <sheetView tabSelected="1" workbookViewId="0"/>
  </sheetViews>
  <sheetFormatPr baseColWidth="10" defaultRowHeight="12.75" x14ac:dyDescent="0.2"/>
  <cols>
    <col min="1" max="1" width="25.140625" customWidth="1"/>
    <col min="2" max="2" width="25.7109375" customWidth="1"/>
    <col min="6" max="6" width="3.7109375" customWidth="1"/>
    <col min="7" max="7" width="13.42578125" hidden="1" customWidth="1"/>
    <col min="8" max="8" width="0" hidden="1" customWidth="1"/>
    <col min="10" max="10" width="13.42578125" customWidth="1"/>
    <col min="11" max="11" width="15" customWidth="1"/>
    <col min="12" max="12" width="13.85546875" customWidth="1"/>
  </cols>
  <sheetData>
    <row r="1" spans="1:12" x14ac:dyDescent="0.2">
      <c r="I1" s="2" t="s">
        <v>55</v>
      </c>
      <c r="J1" s="2"/>
      <c r="K1" s="2"/>
      <c r="L1" s="2"/>
    </row>
    <row r="2" spans="1:12" x14ac:dyDescent="0.2">
      <c r="I2" s="2" t="s">
        <v>58</v>
      </c>
      <c r="J2" s="2"/>
      <c r="K2" s="2"/>
      <c r="L2" s="2"/>
    </row>
    <row r="3" spans="1:12" x14ac:dyDescent="0.2">
      <c r="I3" s="2"/>
      <c r="J3" s="2"/>
      <c r="K3" s="2"/>
      <c r="L3" s="2"/>
    </row>
    <row r="4" spans="1:12" x14ac:dyDescent="0.2">
      <c r="I4" t="s">
        <v>38</v>
      </c>
      <c r="K4" s="1">
        <v>3.2000000000000001E-2</v>
      </c>
    </row>
    <row r="5" spans="1:12" x14ac:dyDescent="0.2">
      <c r="I5" t="s">
        <v>39</v>
      </c>
      <c r="K5" s="1">
        <v>0.95</v>
      </c>
    </row>
    <row r="6" spans="1:12" x14ac:dyDescent="0.2">
      <c r="I6" t="s">
        <v>40</v>
      </c>
      <c r="J6" s="1"/>
    </row>
    <row r="7" spans="1:12" x14ac:dyDescent="0.2">
      <c r="H7" s="1"/>
    </row>
    <row r="8" spans="1:12" ht="38.25" x14ac:dyDescent="0.2">
      <c r="A8" s="7" t="s">
        <v>48</v>
      </c>
      <c r="B8" s="7" t="s">
        <v>53</v>
      </c>
      <c r="C8" s="7" t="s">
        <v>43</v>
      </c>
      <c r="D8" s="7" t="s">
        <v>44</v>
      </c>
      <c r="E8" s="7" t="s">
        <v>45</v>
      </c>
      <c r="F8" s="7"/>
      <c r="G8" s="7" t="s">
        <v>47</v>
      </c>
      <c r="H8" s="7"/>
      <c r="I8" s="7" t="s">
        <v>41</v>
      </c>
      <c r="J8" s="7" t="s">
        <v>49</v>
      </c>
      <c r="K8" s="7" t="s">
        <v>50</v>
      </c>
      <c r="L8" s="7" t="s">
        <v>42</v>
      </c>
    </row>
    <row r="9" spans="1:12" x14ac:dyDescent="0.2">
      <c r="A9" s="16" t="s">
        <v>23</v>
      </c>
      <c r="B9" s="8" t="s">
        <v>23</v>
      </c>
      <c r="C9" s="9">
        <v>39</v>
      </c>
      <c r="D9" s="9">
        <v>18</v>
      </c>
      <c r="E9" s="9">
        <v>21</v>
      </c>
      <c r="F9" s="9"/>
      <c r="G9" s="10">
        <f>C9/$C$28</f>
        <v>2.4014778325123151E-2</v>
      </c>
      <c r="H9" s="8">
        <f>$H$28*C9/$C$28</f>
        <v>14.288793103448276</v>
      </c>
      <c r="I9" s="8">
        <f>ROUNDUP($H$28*C9/$C$28,0)</f>
        <v>15</v>
      </c>
      <c r="J9" s="8">
        <f>ROUNDUP(D9/C9*I9,0)</f>
        <v>7</v>
      </c>
      <c r="K9" s="8">
        <f>ROUNDUP(E9/C9*I9,0)</f>
        <v>9</v>
      </c>
      <c r="L9" s="11">
        <f>J9+K9</f>
        <v>16</v>
      </c>
    </row>
    <row r="10" spans="1:12" x14ac:dyDescent="0.2">
      <c r="A10" s="17" t="s">
        <v>24</v>
      </c>
      <c r="B10" s="8" t="s">
        <v>24</v>
      </c>
      <c r="C10" s="8">
        <v>182</v>
      </c>
      <c r="D10" s="8">
        <v>94</v>
      </c>
      <c r="E10" s="8">
        <v>88</v>
      </c>
      <c r="F10" s="8"/>
      <c r="G10" s="10">
        <f t="shared" ref="G10:G26" si="0">C10/$C$28</f>
        <v>0.11206896551724138</v>
      </c>
      <c r="H10" s="8">
        <f t="shared" ref="H10:H26" si="1">$H$28*C10/$C$28</f>
        <v>66.681034482758619</v>
      </c>
      <c r="I10" s="8">
        <f t="shared" ref="I10:I26" si="2">ROUNDUP($H$28*C10/$C$28,0)</f>
        <v>67</v>
      </c>
      <c r="J10" s="8">
        <f t="shared" ref="J10:J26" si="3">ROUNDUP(D10/C10*I10,0)</f>
        <v>35</v>
      </c>
      <c r="K10" s="8">
        <f t="shared" ref="K10:K26" si="4">ROUNDUP(E10/C10*I10,0)</f>
        <v>33</v>
      </c>
      <c r="L10" s="11">
        <f t="shared" ref="L10:L26" si="5">J10+K10</f>
        <v>68</v>
      </c>
    </row>
    <row r="11" spans="1:12" x14ac:dyDescent="0.2">
      <c r="A11" s="17"/>
      <c r="B11" s="8" t="s">
        <v>25</v>
      </c>
      <c r="C11" s="8">
        <v>28</v>
      </c>
      <c r="D11" s="8">
        <v>15</v>
      </c>
      <c r="E11" s="8">
        <v>13</v>
      </c>
      <c r="F11" s="8"/>
      <c r="G11" s="10">
        <f t="shared" si="0"/>
        <v>1.7241379310344827E-2</v>
      </c>
      <c r="H11" s="8">
        <f t="shared" si="1"/>
        <v>10.258620689655173</v>
      </c>
      <c r="I11" s="8">
        <f t="shared" si="2"/>
        <v>11</v>
      </c>
      <c r="J11" s="8">
        <f t="shared" si="3"/>
        <v>6</v>
      </c>
      <c r="K11" s="8">
        <f t="shared" si="4"/>
        <v>6</v>
      </c>
      <c r="L11" s="11">
        <f t="shared" si="5"/>
        <v>12</v>
      </c>
    </row>
    <row r="12" spans="1:12" x14ac:dyDescent="0.2">
      <c r="A12" s="16" t="s">
        <v>8</v>
      </c>
      <c r="B12" s="8" t="s">
        <v>8</v>
      </c>
      <c r="C12" s="9">
        <v>74</v>
      </c>
      <c r="D12" s="9">
        <v>41</v>
      </c>
      <c r="E12" s="9">
        <v>33</v>
      </c>
      <c r="F12" s="8"/>
      <c r="G12" s="10">
        <f t="shared" si="0"/>
        <v>4.5566502463054187E-2</v>
      </c>
      <c r="H12" s="8">
        <f t="shared" si="1"/>
        <v>27.112068965517242</v>
      </c>
      <c r="I12" s="8">
        <f t="shared" si="2"/>
        <v>28</v>
      </c>
      <c r="J12" s="8">
        <f t="shared" si="3"/>
        <v>16</v>
      </c>
      <c r="K12" s="8">
        <f t="shared" si="4"/>
        <v>13</v>
      </c>
      <c r="L12" s="11">
        <f t="shared" si="5"/>
        <v>29</v>
      </c>
    </row>
    <row r="13" spans="1:12" x14ac:dyDescent="0.2">
      <c r="A13" s="16" t="s">
        <v>6</v>
      </c>
      <c r="B13" s="8" t="s">
        <v>6</v>
      </c>
      <c r="C13" s="9">
        <v>23</v>
      </c>
      <c r="D13" s="9">
        <v>13</v>
      </c>
      <c r="E13" s="9">
        <v>10</v>
      </c>
      <c r="F13" s="8"/>
      <c r="G13" s="10">
        <f t="shared" si="0"/>
        <v>1.416256157635468E-2</v>
      </c>
      <c r="H13" s="8">
        <f t="shared" si="1"/>
        <v>8.4267241379310338</v>
      </c>
      <c r="I13" s="8">
        <f t="shared" si="2"/>
        <v>9</v>
      </c>
      <c r="J13" s="8">
        <f t="shared" si="3"/>
        <v>6</v>
      </c>
      <c r="K13" s="8">
        <f t="shared" si="4"/>
        <v>4</v>
      </c>
      <c r="L13" s="11">
        <f t="shared" si="5"/>
        <v>10</v>
      </c>
    </row>
    <row r="14" spans="1:12" x14ac:dyDescent="0.2">
      <c r="A14" s="16" t="s">
        <v>16</v>
      </c>
      <c r="B14" s="8" t="s">
        <v>16</v>
      </c>
      <c r="C14" s="9">
        <v>30</v>
      </c>
      <c r="D14" s="9">
        <v>15</v>
      </c>
      <c r="E14" s="9">
        <v>15</v>
      </c>
      <c r="F14" s="8"/>
      <c r="G14" s="10">
        <f t="shared" si="0"/>
        <v>1.8472906403940888E-2</v>
      </c>
      <c r="H14" s="8">
        <f t="shared" si="1"/>
        <v>10.991379310344827</v>
      </c>
      <c r="I14" s="8">
        <f t="shared" si="2"/>
        <v>11</v>
      </c>
      <c r="J14" s="8">
        <f t="shared" si="3"/>
        <v>6</v>
      </c>
      <c r="K14" s="8">
        <f t="shared" si="4"/>
        <v>6</v>
      </c>
      <c r="L14" s="11">
        <f t="shared" si="5"/>
        <v>12</v>
      </c>
    </row>
    <row r="15" spans="1:12" x14ac:dyDescent="0.2">
      <c r="A15" s="17" t="s">
        <v>1</v>
      </c>
      <c r="B15" s="8" t="s">
        <v>1</v>
      </c>
      <c r="C15" s="8">
        <v>472</v>
      </c>
      <c r="D15" s="8">
        <v>237</v>
      </c>
      <c r="E15" s="8">
        <v>235</v>
      </c>
      <c r="F15" s="8"/>
      <c r="G15" s="10">
        <f t="shared" si="0"/>
        <v>0.29064039408866993</v>
      </c>
      <c r="H15" s="8">
        <f t="shared" si="1"/>
        <v>172.93103448275863</v>
      </c>
      <c r="I15" s="8">
        <f t="shared" si="2"/>
        <v>173</v>
      </c>
      <c r="J15" s="8">
        <f t="shared" si="3"/>
        <v>87</v>
      </c>
      <c r="K15" s="8">
        <f t="shared" si="4"/>
        <v>87</v>
      </c>
      <c r="L15" s="11">
        <f t="shared" si="5"/>
        <v>174</v>
      </c>
    </row>
    <row r="16" spans="1:12" x14ac:dyDescent="0.2">
      <c r="A16" s="17"/>
      <c r="B16" s="8" t="s">
        <v>2</v>
      </c>
      <c r="C16" s="8">
        <v>31</v>
      </c>
      <c r="D16" s="8">
        <v>22</v>
      </c>
      <c r="E16" s="8">
        <v>9</v>
      </c>
      <c r="F16" s="8"/>
      <c r="G16" s="10">
        <f t="shared" si="0"/>
        <v>1.9088669950738917E-2</v>
      </c>
      <c r="H16" s="8">
        <f t="shared" si="1"/>
        <v>11.357758620689655</v>
      </c>
      <c r="I16" s="8">
        <f t="shared" si="2"/>
        <v>12</v>
      </c>
      <c r="J16" s="8">
        <f t="shared" si="3"/>
        <v>9</v>
      </c>
      <c r="K16" s="8">
        <f t="shared" si="4"/>
        <v>4</v>
      </c>
      <c r="L16" s="11">
        <f t="shared" si="5"/>
        <v>13</v>
      </c>
    </row>
    <row r="17" spans="1:12" x14ac:dyDescent="0.2">
      <c r="A17" s="17" t="s">
        <v>30</v>
      </c>
      <c r="B17" s="8" t="s">
        <v>35</v>
      </c>
      <c r="C17" s="8">
        <v>14</v>
      </c>
      <c r="D17" s="8">
        <v>6</v>
      </c>
      <c r="E17" s="8">
        <v>8</v>
      </c>
      <c r="F17" s="8"/>
      <c r="G17" s="10">
        <f t="shared" si="0"/>
        <v>8.6206896551724137E-3</v>
      </c>
      <c r="H17" s="8">
        <f t="shared" si="1"/>
        <v>5.1293103448275863</v>
      </c>
      <c r="I17" s="8">
        <f t="shared" si="2"/>
        <v>6</v>
      </c>
      <c r="J17" s="8">
        <f t="shared" si="3"/>
        <v>3</v>
      </c>
      <c r="K17" s="8">
        <f t="shared" si="4"/>
        <v>4</v>
      </c>
      <c r="L17" s="11">
        <f t="shared" si="5"/>
        <v>7</v>
      </c>
    </row>
    <row r="18" spans="1:12" x14ac:dyDescent="0.2">
      <c r="A18" s="17"/>
      <c r="B18" s="8" t="s">
        <v>33</v>
      </c>
      <c r="C18" s="8">
        <v>104</v>
      </c>
      <c r="D18" s="8">
        <v>46</v>
      </c>
      <c r="E18" s="8">
        <v>58</v>
      </c>
      <c r="F18" s="8"/>
      <c r="G18" s="10">
        <f t="shared" si="0"/>
        <v>6.4039408866995079E-2</v>
      </c>
      <c r="H18" s="8">
        <f t="shared" si="1"/>
        <v>38.103448275862071</v>
      </c>
      <c r="I18" s="8">
        <f t="shared" si="2"/>
        <v>39</v>
      </c>
      <c r="J18" s="8">
        <f t="shared" si="3"/>
        <v>18</v>
      </c>
      <c r="K18" s="8">
        <f t="shared" si="4"/>
        <v>22</v>
      </c>
      <c r="L18" s="11">
        <f t="shared" si="5"/>
        <v>40</v>
      </c>
    </row>
    <row r="19" spans="1:12" x14ac:dyDescent="0.2">
      <c r="A19" s="17"/>
      <c r="B19" s="8" t="s">
        <v>31</v>
      </c>
      <c r="C19" s="8">
        <v>60</v>
      </c>
      <c r="D19" s="8">
        <v>34</v>
      </c>
      <c r="E19" s="8">
        <v>26</v>
      </c>
      <c r="F19" s="8"/>
      <c r="G19" s="10">
        <f t="shared" si="0"/>
        <v>3.6945812807881777E-2</v>
      </c>
      <c r="H19" s="8">
        <f t="shared" si="1"/>
        <v>21.982758620689655</v>
      </c>
      <c r="I19" s="8">
        <f t="shared" si="2"/>
        <v>22</v>
      </c>
      <c r="J19" s="8">
        <f t="shared" si="3"/>
        <v>13</v>
      </c>
      <c r="K19" s="8">
        <f t="shared" si="4"/>
        <v>10</v>
      </c>
      <c r="L19" s="11">
        <f t="shared" si="5"/>
        <v>23</v>
      </c>
    </row>
    <row r="20" spans="1:12" x14ac:dyDescent="0.2">
      <c r="A20" s="16" t="s">
        <v>9</v>
      </c>
      <c r="B20" s="16" t="s">
        <v>9</v>
      </c>
      <c r="C20" s="9">
        <v>15</v>
      </c>
      <c r="D20" s="9">
        <v>9</v>
      </c>
      <c r="E20" s="9">
        <v>6</v>
      </c>
      <c r="F20" s="8"/>
      <c r="G20" s="10">
        <f t="shared" si="0"/>
        <v>9.2364532019704442E-3</v>
      </c>
      <c r="H20" s="8">
        <f t="shared" si="1"/>
        <v>5.4956896551724137</v>
      </c>
      <c r="I20" s="8">
        <f t="shared" si="2"/>
        <v>6</v>
      </c>
      <c r="J20" s="8">
        <f t="shared" si="3"/>
        <v>4</v>
      </c>
      <c r="K20" s="8">
        <f t="shared" si="4"/>
        <v>3</v>
      </c>
      <c r="L20" s="11">
        <f t="shared" si="5"/>
        <v>7</v>
      </c>
    </row>
    <row r="21" spans="1:12" x14ac:dyDescent="0.2">
      <c r="A21" s="16" t="s">
        <v>12</v>
      </c>
      <c r="B21" s="8" t="s">
        <v>12</v>
      </c>
      <c r="C21" s="9">
        <v>107</v>
      </c>
      <c r="D21" s="9">
        <v>53</v>
      </c>
      <c r="E21" s="9">
        <v>54</v>
      </c>
      <c r="F21" s="8"/>
      <c r="G21" s="10">
        <f t="shared" si="0"/>
        <v>6.5886699507389165E-2</v>
      </c>
      <c r="H21" s="8">
        <f t="shared" si="1"/>
        <v>39.202586206896555</v>
      </c>
      <c r="I21" s="8">
        <f t="shared" si="2"/>
        <v>40</v>
      </c>
      <c r="J21" s="8">
        <f t="shared" si="3"/>
        <v>20</v>
      </c>
      <c r="K21" s="8">
        <f t="shared" si="4"/>
        <v>21</v>
      </c>
      <c r="L21" s="11">
        <f t="shared" si="5"/>
        <v>41</v>
      </c>
    </row>
    <row r="22" spans="1:12" x14ac:dyDescent="0.2">
      <c r="A22" s="16" t="s">
        <v>34</v>
      </c>
      <c r="B22" s="8" t="s">
        <v>34</v>
      </c>
      <c r="C22" s="9">
        <v>42</v>
      </c>
      <c r="D22" s="9">
        <v>24</v>
      </c>
      <c r="E22" s="9">
        <v>18</v>
      </c>
      <c r="F22" s="8"/>
      <c r="G22" s="10">
        <f t="shared" si="0"/>
        <v>2.5862068965517241E-2</v>
      </c>
      <c r="H22" s="8">
        <f t="shared" si="1"/>
        <v>15.387931034482758</v>
      </c>
      <c r="I22" s="8">
        <f t="shared" si="2"/>
        <v>16</v>
      </c>
      <c r="J22" s="8">
        <f t="shared" si="3"/>
        <v>10</v>
      </c>
      <c r="K22" s="8">
        <f t="shared" si="4"/>
        <v>7</v>
      </c>
      <c r="L22" s="11">
        <f t="shared" si="5"/>
        <v>17</v>
      </c>
    </row>
    <row r="23" spans="1:12" x14ac:dyDescent="0.2">
      <c r="A23" s="17" t="s">
        <v>18</v>
      </c>
      <c r="B23" s="8" t="s">
        <v>19</v>
      </c>
      <c r="C23" s="8">
        <v>27</v>
      </c>
      <c r="D23" s="8">
        <v>12</v>
      </c>
      <c r="E23" s="8">
        <v>15</v>
      </c>
      <c r="F23" s="8"/>
      <c r="G23" s="10">
        <f t="shared" si="0"/>
        <v>1.6625615763546799E-2</v>
      </c>
      <c r="H23" s="8">
        <f t="shared" si="1"/>
        <v>9.8922413793103452</v>
      </c>
      <c r="I23" s="8">
        <f t="shared" si="2"/>
        <v>10</v>
      </c>
      <c r="J23" s="8">
        <f t="shared" si="3"/>
        <v>5</v>
      </c>
      <c r="K23" s="8">
        <f t="shared" si="4"/>
        <v>6</v>
      </c>
      <c r="L23" s="11">
        <f t="shared" si="5"/>
        <v>11</v>
      </c>
    </row>
    <row r="24" spans="1:12" x14ac:dyDescent="0.2">
      <c r="A24" s="17"/>
      <c r="B24" s="8" t="s">
        <v>20</v>
      </c>
      <c r="C24" s="8">
        <v>54</v>
      </c>
      <c r="D24" s="8">
        <v>24</v>
      </c>
      <c r="E24" s="8">
        <v>30</v>
      </c>
      <c r="F24" s="8"/>
      <c r="G24" s="10">
        <f t="shared" si="0"/>
        <v>3.3251231527093597E-2</v>
      </c>
      <c r="H24" s="8">
        <f t="shared" si="1"/>
        <v>19.78448275862069</v>
      </c>
      <c r="I24" s="8">
        <f t="shared" si="2"/>
        <v>20</v>
      </c>
      <c r="J24" s="8">
        <f t="shared" si="3"/>
        <v>9</v>
      </c>
      <c r="K24" s="8">
        <f t="shared" si="4"/>
        <v>12</v>
      </c>
      <c r="L24" s="11">
        <f t="shared" si="5"/>
        <v>21</v>
      </c>
    </row>
    <row r="25" spans="1:12" x14ac:dyDescent="0.2">
      <c r="A25" s="17"/>
      <c r="B25" s="8" t="s">
        <v>32</v>
      </c>
      <c r="C25" s="8">
        <v>17</v>
      </c>
      <c r="D25" s="8">
        <v>10</v>
      </c>
      <c r="E25" s="8">
        <v>7</v>
      </c>
      <c r="F25" s="8"/>
      <c r="G25" s="10">
        <f t="shared" si="0"/>
        <v>1.0467980295566502E-2</v>
      </c>
      <c r="H25" s="8">
        <f t="shared" si="1"/>
        <v>6.2284482758620694</v>
      </c>
      <c r="I25" s="8">
        <f t="shared" si="2"/>
        <v>7</v>
      </c>
      <c r="J25" s="8">
        <f t="shared" si="3"/>
        <v>5</v>
      </c>
      <c r="K25" s="8">
        <f t="shared" si="4"/>
        <v>3</v>
      </c>
      <c r="L25" s="11">
        <f t="shared" si="5"/>
        <v>8</v>
      </c>
    </row>
    <row r="26" spans="1:12" x14ac:dyDescent="0.2">
      <c r="A26" s="17"/>
      <c r="B26" s="8" t="s">
        <v>51</v>
      </c>
      <c r="C26" s="8">
        <v>305</v>
      </c>
      <c r="D26" s="8">
        <v>169</v>
      </c>
      <c r="E26" s="8">
        <v>136</v>
      </c>
      <c r="F26" s="8"/>
      <c r="G26" s="10">
        <f t="shared" si="0"/>
        <v>0.18780788177339902</v>
      </c>
      <c r="H26" s="8">
        <f t="shared" si="1"/>
        <v>111.74568965517241</v>
      </c>
      <c r="I26" s="8">
        <f t="shared" si="2"/>
        <v>112</v>
      </c>
      <c r="J26" s="8">
        <f t="shared" si="3"/>
        <v>63</v>
      </c>
      <c r="K26" s="8">
        <f t="shared" si="4"/>
        <v>50</v>
      </c>
      <c r="L26" s="11">
        <f t="shared" si="5"/>
        <v>113</v>
      </c>
    </row>
    <row r="28" spans="1:12" x14ac:dyDescent="0.2">
      <c r="B28" s="2" t="s">
        <v>46</v>
      </c>
      <c r="C28" s="4">
        <f>SUM(C9:C26)</f>
        <v>1624</v>
      </c>
      <c r="D28" s="4">
        <f t="shared" ref="D28:G28" si="6">SUM(D9:D26)</f>
        <v>842</v>
      </c>
      <c r="E28" s="4">
        <f t="shared" si="6"/>
        <v>782</v>
      </c>
      <c r="G28" s="6">
        <f t="shared" si="6"/>
        <v>1</v>
      </c>
      <c r="H28" s="2" cm="1">
        <f t="array" ref="H28">ROUNDUP(SampleSize(C28,$K$4,$K$5),0)</f>
        <v>595</v>
      </c>
      <c r="I28" s="4">
        <f t="shared" ref="I28:L28" si="7">SUM(I9:I26)</f>
        <v>604</v>
      </c>
      <c r="J28" s="4">
        <f t="shared" si="7"/>
        <v>322</v>
      </c>
      <c r="K28" s="4">
        <f t="shared" si="7"/>
        <v>300</v>
      </c>
      <c r="L28" s="4">
        <f t="shared" si="7"/>
        <v>622</v>
      </c>
    </row>
    <row r="32" spans="1:12" x14ac:dyDescent="0.2">
      <c r="C32" s="3"/>
      <c r="D32" s="3"/>
      <c r="E32" s="3"/>
    </row>
    <row r="33" spans="3:5" x14ac:dyDescent="0.2">
      <c r="C33" s="3"/>
      <c r="D33" s="3"/>
      <c r="E33" s="3"/>
    </row>
  </sheetData>
  <mergeCells count="4">
    <mergeCell ref="A10:A11"/>
    <mergeCell ref="A15:A16"/>
    <mergeCell ref="A17:A19"/>
    <mergeCell ref="A23:A26"/>
  </mergeCells>
  <pageMargins left="0.25" right="0.25" top="0.75" bottom="0.75" header="0.3" footer="0.3"/>
  <pageSetup paperSize="9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02E36-E6A2-49D8-B92E-84A298696E67}">
  <dimension ref="A1:L21"/>
  <sheetViews>
    <sheetView zoomScaleNormal="100" workbookViewId="0"/>
  </sheetViews>
  <sheetFormatPr baseColWidth="10" defaultRowHeight="12.75" x14ac:dyDescent="0.2"/>
  <cols>
    <col min="1" max="1" width="22.85546875" customWidth="1"/>
    <col min="2" max="2" width="27.140625" customWidth="1"/>
    <col min="6" max="6" width="3.5703125" customWidth="1"/>
    <col min="7" max="7" width="13.28515625" hidden="1" customWidth="1"/>
    <col min="8" max="8" width="0" hidden="1" customWidth="1"/>
    <col min="9" max="9" width="13.28515625" customWidth="1"/>
    <col min="10" max="10" width="13.42578125" customWidth="1"/>
    <col min="11" max="11" width="12.5703125" customWidth="1"/>
    <col min="12" max="12" width="13.42578125" customWidth="1"/>
  </cols>
  <sheetData>
    <row r="1" spans="1:12" x14ac:dyDescent="0.2">
      <c r="I1" s="2" t="s">
        <v>55</v>
      </c>
      <c r="J1" s="2"/>
      <c r="K1" s="2"/>
      <c r="L1" s="2"/>
    </row>
    <row r="2" spans="1:12" x14ac:dyDescent="0.2">
      <c r="I2" s="2" t="s">
        <v>56</v>
      </c>
      <c r="J2" s="2"/>
      <c r="K2" s="2"/>
      <c r="L2" s="2"/>
    </row>
    <row r="3" spans="1:12" x14ac:dyDescent="0.2">
      <c r="I3" s="2"/>
      <c r="J3" s="2"/>
      <c r="K3" s="2"/>
      <c r="L3" s="2"/>
    </row>
    <row r="4" spans="1:12" x14ac:dyDescent="0.2">
      <c r="I4" t="s">
        <v>38</v>
      </c>
      <c r="K4" s="1">
        <v>0.05</v>
      </c>
    </row>
    <row r="5" spans="1:12" x14ac:dyDescent="0.2">
      <c r="I5" t="s">
        <v>39</v>
      </c>
      <c r="K5" s="1">
        <v>0.95</v>
      </c>
    </row>
    <row r="6" spans="1:12" x14ac:dyDescent="0.2">
      <c r="I6" t="s">
        <v>40</v>
      </c>
      <c r="J6" s="1"/>
    </row>
    <row r="7" spans="1:12" x14ac:dyDescent="0.2">
      <c r="H7" s="1"/>
    </row>
    <row r="8" spans="1:12" ht="38.25" x14ac:dyDescent="0.2">
      <c r="A8" s="7" t="s">
        <v>48</v>
      </c>
      <c r="B8" s="7" t="s">
        <v>53</v>
      </c>
      <c r="C8" s="7" t="s">
        <v>43</v>
      </c>
      <c r="D8" s="7" t="s">
        <v>44</v>
      </c>
      <c r="E8" s="7" t="s">
        <v>45</v>
      </c>
      <c r="F8" s="7"/>
      <c r="G8" s="7" t="s">
        <v>47</v>
      </c>
      <c r="H8" s="7"/>
      <c r="I8" s="7" t="s">
        <v>41</v>
      </c>
      <c r="J8" s="7" t="s">
        <v>49</v>
      </c>
      <c r="K8" s="7" t="s">
        <v>50</v>
      </c>
      <c r="L8" s="7" t="s">
        <v>42</v>
      </c>
    </row>
    <row r="9" spans="1:12" x14ac:dyDescent="0.2">
      <c r="A9" s="8" t="s">
        <v>36</v>
      </c>
      <c r="B9" s="8" t="s">
        <v>36</v>
      </c>
      <c r="C9" s="9">
        <v>2749</v>
      </c>
      <c r="D9" s="9">
        <v>1368</v>
      </c>
      <c r="E9" s="9">
        <v>1381</v>
      </c>
      <c r="F9" s="9"/>
      <c r="G9" s="10">
        <f>C9/$C$20</f>
        <v>0.22085643126857876</v>
      </c>
      <c r="H9" s="8">
        <f>$H$20*C9/$C$20</f>
        <v>82.379448863179888</v>
      </c>
      <c r="I9" s="8">
        <f>ROUNDUP($H$20*C9/$C$20,0)</f>
        <v>83</v>
      </c>
      <c r="J9" s="8">
        <f>ROUNDUP(D9/C9*I9,0)</f>
        <v>42</v>
      </c>
      <c r="K9" s="8">
        <f>ROUNDUP(E9/C9*I9,0)</f>
        <v>42</v>
      </c>
      <c r="L9" s="11">
        <f>J9+K9</f>
        <v>84</v>
      </c>
    </row>
    <row r="10" spans="1:12" x14ac:dyDescent="0.2">
      <c r="A10" s="8" t="s">
        <v>5</v>
      </c>
      <c r="B10" s="8" t="s">
        <v>5</v>
      </c>
      <c r="C10" s="9">
        <v>1684</v>
      </c>
      <c r="D10" s="9">
        <v>811</v>
      </c>
      <c r="E10" s="9">
        <v>873</v>
      </c>
      <c r="F10" s="9"/>
      <c r="G10" s="10">
        <f t="shared" ref="G10:G18" si="0">C10/$C$20</f>
        <v>0.13529364505503333</v>
      </c>
      <c r="H10" s="8">
        <f t="shared" ref="H10:H18" si="1">$H$20*C10/$C$20</f>
        <v>50.464529605527439</v>
      </c>
      <c r="I10" s="8">
        <f t="shared" ref="I10:I18" si="2">ROUNDUP($H$20*C10/$C$20,0)</f>
        <v>51</v>
      </c>
      <c r="J10" s="8">
        <f t="shared" ref="J10:J18" si="3">ROUNDUP(D10/C10*I10,0)</f>
        <v>25</v>
      </c>
      <c r="K10" s="8">
        <f t="shared" ref="K10:K18" si="4">ROUNDUP(E10/C10*I10,0)</f>
        <v>27</v>
      </c>
      <c r="L10" s="11">
        <f t="shared" ref="L10:L18" si="5">J10+K10</f>
        <v>52</v>
      </c>
    </row>
    <row r="11" spans="1:12" x14ac:dyDescent="0.2">
      <c r="A11" s="8" t="s">
        <v>7</v>
      </c>
      <c r="B11" s="8" t="s">
        <v>7</v>
      </c>
      <c r="C11" s="9">
        <v>1379</v>
      </c>
      <c r="D11" s="9">
        <v>691</v>
      </c>
      <c r="E11" s="9">
        <v>688</v>
      </c>
      <c r="F11" s="9"/>
      <c r="G11" s="10">
        <f t="shared" si="0"/>
        <v>0.11078974853378325</v>
      </c>
      <c r="H11" s="8">
        <f t="shared" si="1"/>
        <v>41.324576203101152</v>
      </c>
      <c r="I11" s="8">
        <f t="shared" si="2"/>
        <v>42</v>
      </c>
      <c r="J11" s="8">
        <f t="shared" si="3"/>
        <v>22</v>
      </c>
      <c r="K11" s="8">
        <f t="shared" si="4"/>
        <v>21</v>
      </c>
      <c r="L11" s="11">
        <f t="shared" si="5"/>
        <v>43</v>
      </c>
    </row>
    <row r="12" spans="1:12" x14ac:dyDescent="0.2">
      <c r="A12" s="17" t="s">
        <v>10</v>
      </c>
      <c r="B12" s="8" t="s">
        <v>11</v>
      </c>
      <c r="C12" s="9">
        <v>97</v>
      </c>
      <c r="D12" s="9">
        <v>53</v>
      </c>
      <c r="E12" s="9">
        <v>44</v>
      </c>
      <c r="F12" s="9"/>
      <c r="G12" s="10">
        <f t="shared" si="0"/>
        <v>7.7930425002008512E-3</v>
      </c>
      <c r="H12" s="8">
        <f t="shared" si="1"/>
        <v>2.9068048525749175</v>
      </c>
      <c r="I12" s="8">
        <f t="shared" si="2"/>
        <v>3</v>
      </c>
      <c r="J12" s="8">
        <f t="shared" si="3"/>
        <v>2</v>
      </c>
      <c r="K12" s="8">
        <f t="shared" si="4"/>
        <v>2</v>
      </c>
      <c r="L12" s="11">
        <f t="shared" si="5"/>
        <v>4</v>
      </c>
    </row>
    <row r="13" spans="1:12" x14ac:dyDescent="0.2">
      <c r="A13" s="17"/>
      <c r="B13" s="8" t="s">
        <v>15</v>
      </c>
      <c r="C13" s="9">
        <v>24</v>
      </c>
      <c r="D13" s="9">
        <v>13</v>
      </c>
      <c r="E13" s="9">
        <v>11</v>
      </c>
      <c r="F13" s="9"/>
      <c r="G13" s="10">
        <f t="shared" si="0"/>
        <v>1.9281754639672211E-3</v>
      </c>
      <c r="H13" s="8">
        <f t="shared" si="1"/>
        <v>0.71920944805977349</v>
      </c>
      <c r="I13" s="8">
        <f t="shared" si="2"/>
        <v>1</v>
      </c>
      <c r="J13" s="8">
        <f t="shared" si="3"/>
        <v>1</v>
      </c>
      <c r="K13" s="8">
        <f t="shared" si="4"/>
        <v>1</v>
      </c>
      <c r="L13" s="11">
        <f t="shared" si="5"/>
        <v>2</v>
      </c>
    </row>
    <row r="14" spans="1:12" x14ac:dyDescent="0.2">
      <c r="A14" s="17"/>
      <c r="B14" s="8" t="s">
        <v>52</v>
      </c>
      <c r="C14" s="9">
        <v>1244</v>
      </c>
      <c r="D14" s="9">
        <v>622</v>
      </c>
      <c r="E14" s="9">
        <v>622</v>
      </c>
      <c r="F14" s="9"/>
      <c r="G14" s="10">
        <f t="shared" si="0"/>
        <v>9.9943761548967627E-2</v>
      </c>
      <c r="H14" s="8">
        <f t="shared" si="1"/>
        <v>37.279023057764924</v>
      </c>
      <c r="I14" s="8">
        <f t="shared" si="2"/>
        <v>38</v>
      </c>
      <c r="J14" s="8">
        <f t="shared" si="3"/>
        <v>19</v>
      </c>
      <c r="K14" s="8">
        <f t="shared" si="4"/>
        <v>19</v>
      </c>
      <c r="L14" s="11">
        <f t="shared" si="5"/>
        <v>38</v>
      </c>
    </row>
    <row r="15" spans="1:12" x14ac:dyDescent="0.2">
      <c r="A15" s="8" t="s">
        <v>37</v>
      </c>
      <c r="B15" s="8" t="s">
        <v>37</v>
      </c>
      <c r="C15" s="9">
        <v>2323</v>
      </c>
      <c r="D15" s="9">
        <v>1171</v>
      </c>
      <c r="E15" s="9">
        <v>1152</v>
      </c>
      <c r="F15" s="9"/>
      <c r="G15" s="10">
        <f t="shared" si="0"/>
        <v>0.18663131678316061</v>
      </c>
      <c r="H15" s="8">
        <f t="shared" si="1"/>
        <v>69.613481160118909</v>
      </c>
      <c r="I15" s="8">
        <f t="shared" si="2"/>
        <v>70</v>
      </c>
      <c r="J15" s="8">
        <f t="shared" si="3"/>
        <v>36</v>
      </c>
      <c r="K15" s="8">
        <f t="shared" si="4"/>
        <v>35</v>
      </c>
      <c r="L15" s="11">
        <f t="shared" si="5"/>
        <v>71</v>
      </c>
    </row>
    <row r="16" spans="1:12" x14ac:dyDescent="0.2">
      <c r="A16" s="17" t="s">
        <v>0</v>
      </c>
      <c r="B16" s="8" t="s">
        <v>4</v>
      </c>
      <c r="C16" s="9">
        <v>411</v>
      </c>
      <c r="D16" s="9">
        <v>219</v>
      </c>
      <c r="E16" s="9">
        <v>192</v>
      </c>
      <c r="F16" s="9"/>
      <c r="G16" s="10">
        <f t="shared" si="0"/>
        <v>3.302000482043866E-2</v>
      </c>
      <c r="H16" s="8">
        <f t="shared" si="1"/>
        <v>12.316461798023621</v>
      </c>
      <c r="I16" s="8">
        <f t="shared" si="2"/>
        <v>13</v>
      </c>
      <c r="J16" s="8">
        <f t="shared" si="3"/>
        <v>7</v>
      </c>
      <c r="K16" s="8">
        <f t="shared" si="4"/>
        <v>7</v>
      </c>
      <c r="L16" s="11">
        <f t="shared" si="5"/>
        <v>14</v>
      </c>
    </row>
    <row r="17" spans="1:12" x14ac:dyDescent="0.2">
      <c r="A17" s="17"/>
      <c r="B17" s="8" t="s">
        <v>3</v>
      </c>
      <c r="C17" s="9">
        <v>169</v>
      </c>
      <c r="D17" s="9">
        <v>83</v>
      </c>
      <c r="E17" s="9">
        <v>86</v>
      </c>
      <c r="F17" s="9"/>
      <c r="G17" s="10">
        <f t="shared" si="0"/>
        <v>1.3577568892102515E-2</v>
      </c>
      <c r="H17" s="8">
        <f t="shared" si="1"/>
        <v>5.064433196754238</v>
      </c>
      <c r="I17" s="8">
        <f t="shared" si="2"/>
        <v>6</v>
      </c>
      <c r="J17" s="8">
        <f t="shared" si="3"/>
        <v>3</v>
      </c>
      <c r="K17" s="8">
        <f t="shared" si="4"/>
        <v>4</v>
      </c>
      <c r="L17" s="11">
        <f t="shared" si="5"/>
        <v>7</v>
      </c>
    </row>
    <row r="18" spans="1:12" x14ac:dyDescent="0.2">
      <c r="A18" s="17"/>
      <c r="B18" s="8" t="s">
        <v>54</v>
      </c>
      <c r="C18" s="9">
        <v>2367</v>
      </c>
      <c r="D18" s="9">
        <v>1181</v>
      </c>
      <c r="E18" s="9">
        <v>1186</v>
      </c>
      <c r="F18" s="9"/>
      <c r="G18" s="10">
        <f t="shared" si="0"/>
        <v>0.19016630513376717</v>
      </c>
      <c r="H18" s="8">
        <f t="shared" si="1"/>
        <v>70.932031814895154</v>
      </c>
      <c r="I18" s="8">
        <f t="shared" si="2"/>
        <v>71</v>
      </c>
      <c r="J18" s="8">
        <f t="shared" si="3"/>
        <v>36</v>
      </c>
      <c r="K18" s="8">
        <f t="shared" si="4"/>
        <v>36</v>
      </c>
      <c r="L18" s="11">
        <f t="shared" si="5"/>
        <v>72</v>
      </c>
    </row>
    <row r="19" spans="1:12" x14ac:dyDescent="0.2">
      <c r="L19" s="5"/>
    </row>
    <row r="20" spans="1:12" x14ac:dyDescent="0.2">
      <c r="A20" s="2"/>
      <c r="B20" s="12" t="s">
        <v>46</v>
      </c>
      <c r="C20" s="13">
        <f>SUM(C9:C18)</f>
        <v>12447</v>
      </c>
      <c r="D20" s="13">
        <f t="shared" ref="D20:L20" si="6">SUM(D9:D18)</f>
        <v>6212</v>
      </c>
      <c r="E20" s="13">
        <f t="shared" si="6"/>
        <v>6235</v>
      </c>
      <c r="F20" s="12"/>
      <c r="G20" s="14">
        <f t="shared" si="6"/>
        <v>1</v>
      </c>
      <c r="H20" s="13" cm="1">
        <f t="array" ref="H20">ROUNDUP(SampleSize(C20,$K$4,$K$5),0)</f>
        <v>373</v>
      </c>
      <c r="I20" s="13">
        <f t="shared" si="6"/>
        <v>378</v>
      </c>
      <c r="J20" s="13">
        <f t="shared" si="6"/>
        <v>193</v>
      </c>
      <c r="K20" s="13">
        <f t="shared" si="6"/>
        <v>194</v>
      </c>
      <c r="L20" s="15">
        <f t="shared" si="6"/>
        <v>387</v>
      </c>
    </row>
    <row r="21" spans="1:12" x14ac:dyDescent="0.2">
      <c r="F21" s="3"/>
    </row>
  </sheetData>
  <mergeCells count="2">
    <mergeCell ref="A16:A18"/>
    <mergeCell ref="A12:A14"/>
  </mergeCells>
  <pageMargins left="0.25" right="0.25" top="0.75" bottom="0.75" header="0.3" footer="0.3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EE8D-8A86-4874-91E4-E63C162F976A}">
  <dimension ref="A1:L29"/>
  <sheetViews>
    <sheetView zoomScaleNormal="100" workbookViewId="0"/>
  </sheetViews>
  <sheetFormatPr baseColWidth="10" defaultRowHeight="12.75" x14ac:dyDescent="0.2"/>
  <cols>
    <col min="1" max="1" width="22.85546875" customWidth="1"/>
    <col min="2" max="2" width="27.140625" customWidth="1"/>
    <col min="6" max="6" width="3.7109375" customWidth="1"/>
    <col min="7" max="7" width="13.28515625" hidden="1" customWidth="1"/>
    <col min="8" max="8" width="0" hidden="1" customWidth="1"/>
    <col min="9" max="9" width="13.28515625" customWidth="1"/>
    <col min="10" max="10" width="13.42578125" customWidth="1"/>
    <col min="11" max="11" width="12.5703125" customWidth="1"/>
    <col min="12" max="12" width="13.42578125" customWidth="1"/>
  </cols>
  <sheetData>
    <row r="1" spans="1:12" x14ac:dyDescent="0.2">
      <c r="I1" s="2" t="s">
        <v>55</v>
      </c>
      <c r="J1" s="2"/>
      <c r="K1" s="2"/>
      <c r="L1" s="2"/>
    </row>
    <row r="2" spans="1:12" x14ac:dyDescent="0.2">
      <c r="I2" s="2" t="s">
        <v>57</v>
      </c>
      <c r="J2" s="2"/>
      <c r="K2" s="2"/>
      <c r="L2" s="2"/>
    </row>
    <row r="3" spans="1:12" x14ac:dyDescent="0.2">
      <c r="I3" s="2"/>
      <c r="J3" s="2"/>
      <c r="K3" s="2"/>
      <c r="L3" s="2"/>
    </row>
    <row r="4" spans="1:12" x14ac:dyDescent="0.2">
      <c r="I4" t="s">
        <v>38</v>
      </c>
      <c r="K4" s="1">
        <v>0.05</v>
      </c>
    </row>
    <row r="5" spans="1:12" x14ac:dyDescent="0.2">
      <c r="I5" t="s">
        <v>39</v>
      </c>
      <c r="K5" s="1">
        <v>0.95</v>
      </c>
    </row>
    <row r="6" spans="1:12" x14ac:dyDescent="0.2">
      <c r="I6" t="s">
        <v>40</v>
      </c>
      <c r="J6" s="1"/>
    </row>
    <row r="7" spans="1:12" x14ac:dyDescent="0.2">
      <c r="H7" s="1"/>
    </row>
    <row r="8" spans="1:12" ht="38.25" x14ac:dyDescent="0.2">
      <c r="A8" s="7" t="s">
        <v>48</v>
      </c>
      <c r="B8" s="7" t="s">
        <v>53</v>
      </c>
      <c r="C8" s="7" t="s">
        <v>43</v>
      </c>
      <c r="D8" s="7" t="s">
        <v>44</v>
      </c>
      <c r="E8" s="7" t="s">
        <v>45</v>
      </c>
      <c r="F8" s="7"/>
      <c r="G8" s="7" t="s">
        <v>47</v>
      </c>
      <c r="H8" s="7"/>
      <c r="I8" s="7" t="s">
        <v>41</v>
      </c>
      <c r="J8" s="7" t="s">
        <v>49</v>
      </c>
      <c r="K8" s="7" t="s">
        <v>50</v>
      </c>
      <c r="L8" s="7" t="s">
        <v>42</v>
      </c>
    </row>
    <row r="9" spans="1:12" x14ac:dyDescent="0.2">
      <c r="A9" s="8" t="s">
        <v>36</v>
      </c>
      <c r="B9" s="8" t="s">
        <v>36</v>
      </c>
      <c r="C9" s="9">
        <v>2749</v>
      </c>
      <c r="D9" s="9">
        <v>1368</v>
      </c>
      <c r="E9" s="9">
        <v>1381</v>
      </c>
      <c r="F9" s="9"/>
      <c r="G9" s="10">
        <f>C9/$C$28</f>
        <v>0.14646491555224039</v>
      </c>
      <c r="H9" s="8">
        <f>$H$28*C9/$C$28</f>
        <v>55.217273163194626</v>
      </c>
      <c r="I9" s="8">
        <f>ROUNDUP($H$28*C9/$C$28,0)</f>
        <v>56</v>
      </c>
      <c r="J9" s="8">
        <f>ROUNDUP(D9/C9*I9,0)</f>
        <v>28</v>
      </c>
      <c r="K9" s="8">
        <f>ROUNDUP(E9/C9*I9,0)</f>
        <v>29</v>
      </c>
      <c r="L9" s="11">
        <f>J9+K9</f>
        <v>57</v>
      </c>
    </row>
    <row r="10" spans="1:12" x14ac:dyDescent="0.2">
      <c r="A10" s="8" t="s">
        <v>5</v>
      </c>
      <c r="B10" s="8" t="s">
        <v>5</v>
      </c>
      <c r="C10" s="9">
        <v>1684</v>
      </c>
      <c r="D10" s="9">
        <v>811</v>
      </c>
      <c r="E10" s="9">
        <v>873</v>
      </c>
      <c r="F10" s="9"/>
      <c r="G10" s="10">
        <f t="shared" ref="G10:G26" si="0">C10/$C$28</f>
        <v>8.9722414619851878E-2</v>
      </c>
      <c r="H10" s="8">
        <f t="shared" ref="H10:H26" si="1">$H$28*C10/$C$28</f>
        <v>33.825350311684161</v>
      </c>
      <c r="I10" s="8">
        <f t="shared" ref="I10:I18" si="2">ROUNDUP($H$28*C10/$C$28,0)</f>
        <v>34</v>
      </c>
      <c r="J10" s="8">
        <f t="shared" ref="J10:J18" si="3">ROUNDUP(D10/C10*I10,0)</f>
        <v>17</v>
      </c>
      <c r="K10" s="8">
        <f t="shared" ref="K10:K18" si="4">ROUNDUP(E10/C10*I10,0)</f>
        <v>18</v>
      </c>
      <c r="L10" s="11">
        <f t="shared" ref="L10:L26" si="5">J10+K10</f>
        <v>35</v>
      </c>
    </row>
    <row r="11" spans="1:12" x14ac:dyDescent="0.2">
      <c r="A11" s="8" t="s">
        <v>7</v>
      </c>
      <c r="B11" s="8" t="s">
        <v>7</v>
      </c>
      <c r="C11" s="9">
        <v>1379</v>
      </c>
      <c r="D11" s="9">
        <v>691</v>
      </c>
      <c r="E11" s="9">
        <v>688</v>
      </c>
      <c r="F11" s="9"/>
      <c r="G11" s="10">
        <f t="shared" si="0"/>
        <v>7.3472214822313392E-2</v>
      </c>
      <c r="H11" s="8">
        <f t="shared" si="1"/>
        <v>27.699024988012148</v>
      </c>
      <c r="I11" s="8">
        <f t="shared" si="2"/>
        <v>28</v>
      </c>
      <c r="J11" s="8">
        <f t="shared" si="3"/>
        <v>15</v>
      </c>
      <c r="K11" s="8">
        <f t="shared" si="4"/>
        <v>14</v>
      </c>
      <c r="L11" s="11">
        <f t="shared" si="5"/>
        <v>29</v>
      </c>
    </row>
    <row r="12" spans="1:12" x14ac:dyDescent="0.2">
      <c r="A12" s="17" t="s">
        <v>10</v>
      </c>
      <c r="B12" s="8" t="s">
        <v>11</v>
      </c>
      <c r="C12" s="9">
        <v>97</v>
      </c>
      <c r="D12" s="9">
        <v>53</v>
      </c>
      <c r="E12" s="9">
        <v>44</v>
      </c>
      <c r="F12" s="9"/>
      <c r="G12" s="10">
        <f t="shared" si="0"/>
        <v>5.1680963290532261E-3</v>
      </c>
      <c r="H12" s="8">
        <f t="shared" si="1"/>
        <v>1.9483723160530662</v>
      </c>
      <c r="I12" s="8">
        <f t="shared" si="2"/>
        <v>2</v>
      </c>
      <c r="J12" s="8">
        <f t="shared" si="3"/>
        <v>2</v>
      </c>
      <c r="K12" s="8">
        <f t="shared" si="4"/>
        <v>1</v>
      </c>
      <c r="L12" s="11">
        <f t="shared" si="5"/>
        <v>3</v>
      </c>
    </row>
    <row r="13" spans="1:12" x14ac:dyDescent="0.2">
      <c r="A13" s="17"/>
      <c r="B13" s="8" t="s">
        <v>15</v>
      </c>
      <c r="C13" s="9">
        <v>24</v>
      </c>
      <c r="D13" s="9">
        <v>13</v>
      </c>
      <c r="E13" s="9">
        <v>11</v>
      </c>
      <c r="F13" s="9"/>
      <c r="G13" s="10">
        <f t="shared" si="0"/>
        <v>1.2787042463636847E-3</v>
      </c>
      <c r="H13" s="8">
        <f t="shared" si="1"/>
        <v>0.48207150087910916</v>
      </c>
      <c r="I13" s="8">
        <f t="shared" si="2"/>
        <v>1</v>
      </c>
      <c r="J13" s="8">
        <f t="shared" si="3"/>
        <v>1</v>
      </c>
      <c r="K13" s="8">
        <f t="shared" si="4"/>
        <v>1</v>
      </c>
      <c r="L13" s="11">
        <f t="shared" si="5"/>
        <v>2</v>
      </c>
    </row>
    <row r="14" spans="1:12" x14ac:dyDescent="0.2">
      <c r="A14" s="17"/>
      <c r="B14" s="8" t="s">
        <v>52</v>
      </c>
      <c r="C14" s="9">
        <v>1244</v>
      </c>
      <c r="D14" s="9">
        <v>622</v>
      </c>
      <c r="E14" s="9">
        <v>622</v>
      </c>
      <c r="F14" s="9"/>
      <c r="G14" s="10">
        <f t="shared" si="0"/>
        <v>6.6279503436517659E-2</v>
      </c>
      <c r="H14" s="8">
        <f t="shared" si="1"/>
        <v>24.987372795567158</v>
      </c>
      <c r="I14" s="8">
        <f t="shared" si="2"/>
        <v>25</v>
      </c>
      <c r="J14" s="8">
        <f t="shared" si="3"/>
        <v>13</v>
      </c>
      <c r="K14" s="8">
        <f t="shared" si="4"/>
        <v>13</v>
      </c>
      <c r="L14" s="11">
        <f t="shared" si="5"/>
        <v>26</v>
      </c>
    </row>
    <row r="15" spans="1:12" x14ac:dyDescent="0.2">
      <c r="A15" s="8" t="s">
        <v>37</v>
      </c>
      <c r="B15" s="8" t="s">
        <v>37</v>
      </c>
      <c r="C15" s="9">
        <v>2323</v>
      </c>
      <c r="D15" s="9">
        <v>1171</v>
      </c>
      <c r="E15" s="9">
        <v>1152</v>
      </c>
      <c r="F15" s="9"/>
      <c r="G15" s="10">
        <f t="shared" si="0"/>
        <v>0.123767915179285</v>
      </c>
      <c r="H15" s="8">
        <f t="shared" si="1"/>
        <v>46.660504022590445</v>
      </c>
      <c r="I15" s="8">
        <f t="shared" si="2"/>
        <v>47</v>
      </c>
      <c r="J15" s="8">
        <f t="shared" si="3"/>
        <v>24</v>
      </c>
      <c r="K15" s="8">
        <f t="shared" si="4"/>
        <v>24</v>
      </c>
      <c r="L15" s="11">
        <f t="shared" si="5"/>
        <v>48</v>
      </c>
    </row>
    <row r="16" spans="1:12" x14ac:dyDescent="0.2">
      <c r="A16" s="17" t="s">
        <v>0</v>
      </c>
      <c r="B16" s="8" t="s">
        <v>4</v>
      </c>
      <c r="C16" s="9">
        <v>411</v>
      </c>
      <c r="D16" s="9">
        <v>219</v>
      </c>
      <c r="E16" s="9">
        <v>192</v>
      </c>
      <c r="F16" s="9"/>
      <c r="G16" s="10">
        <f t="shared" si="0"/>
        <v>2.1897810218978103E-2</v>
      </c>
      <c r="H16" s="8">
        <f t="shared" si="1"/>
        <v>8.2554744525547452</v>
      </c>
      <c r="I16" s="8">
        <f t="shared" si="2"/>
        <v>9</v>
      </c>
      <c r="J16" s="8">
        <f t="shared" si="3"/>
        <v>5</v>
      </c>
      <c r="K16" s="8">
        <f t="shared" si="4"/>
        <v>5</v>
      </c>
      <c r="L16" s="11">
        <f t="shared" si="5"/>
        <v>10</v>
      </c>
    </row>
    <row r="17" spans="1:12" x14ac:dyDescent="0.2">
      <c r="A17" s="17"/>
      <c r="B17" s="8" t="s">
        <v>3</v>
      </c>
      <c r="C17" s="9">
        <v>169</v>
      </c>
      <c r="D17" s="9">
        <v>83</v>
      </c>
      <c r="E17" s="9">
        <v>86</v>
      </c>
      <c r="F17" s="9"/>
      <c r="G17" s="10">
        <f t="shared" si="0"/>
        <v>9.004209068144281E-3</v>
      </c>
      <c r="H17" s="8">
        <f t="shared" si="1"/>
        <v>3.3945868186903936</v>
      </c>
      <c r="I17" s="8">
        <f t="shared" si="2"/>
        <v>4</v>
      </c>
      <c r="J17" s="8">
        <f t="shared" si="3"/>
        <v>2</v>
      </c>
      <c r="K17" s="8">
        <f t="shared" si="4"/>
        <v>3</v>
      </c>
      <c r="L17" s="11">
        <f t="shared" si="5"/>
        <v>5</v>
      </c>
    </row>
    <row r="18" spans="1:12" x14ac:dyDescent="0.2">
      <c r="A18" s="17"/>
      <c r="B18" s="8" t="s">
        <v>54</v>
      </c>
      <c r="C18" s="9">
        <v>2367</v>
      </c>
      <c r="D18" s="9">
        <v>1181</v>
      </c>
      <c r="E18" s="9">
        <v>1186</v>
      </c>
      <c r="F18" s="9"/>
      <c r="G18" s="10">
        <f t="shared" si="0"/>
        <v>0.12611220629761841</v>
      </c>
      <c r="H18" s="8">
        <f t="shared" si="1"/>
        <v>47.54430177420214</v>
      </c>
      <c r="I18" s="8">
        <f t="shared" si="2"/>
        <v>48</v>
      </c>
      <c r="J18" s="8">
        <f t="shared" si="3"/>
        <v>24</v>
      </c>
      <c r="K18" s="8">
        <f t="shared" si="4"/>
        <v>25</v>
      </c>
      <c r="L18" s="11">
        <f t="shared" si="5"/>
        <v>49</v>
      </c>
    </row>
    <row r="19" spans="1:12" x14ac:dyDescent="0.2">
      <c r="A19" s="17" t="s">
        <v>13</v>
      </c>
      <c r="B19" s="8" t="s">
        <v>14</v>
      </c>
      <c r="C19" s="9">
        <v>1143</v>
      </c>
      <c r="D19" s="9">
        <v>564</v>
      </c>
      <c r="E19" s="9">
        <v>579</v>
      </c>
      <c r="F19" s="9"/>
      <c r="G19" s="10">
        <f t="shared" si="0"/>
        <v>6.0898289733070488E-2</v>
      </c>
      <c r="H19" s="8">
        <f t="shared" si="1"/>
        <v>22.958655229367576</v>
      </c>
      <c r="I19" s="8">
        <f t="shared" ref="I19:I26" si="6">ROUNDUP($H$28*C19/$C$28,0)</f>
        <v>23</v>
      </c>
      <c r="J19" s="8">
        <f t="shared" ref="J19:J26" si="7">ROUNDUP(D19/C19*I19,0)</f>
        <v>12</v>
      </c>
      <c r="K19" s="8">
        <f t="shared" ref="K19:K26" si="8">ROUNDUP(E19/C19*I19,0)</f>
        <v>12</v>
      </c>
      <c r="L19" s="11">
        <f t="shared" si="5"/>
        <v>24</v>
      </c>
    </row>
    <row r="20" spans="1:12" x14ac:dyDescent="0.2">
      <c r="A20" s="17"/>
      <c r="B20" s="8" t="s">
        <v>27</v>
      </c>
      <c r="C20" s="9">
        <v>479</v>
      </c>
      <c r="D20" s="9">
        <v>232</v>
      </c>
      <c r="E20" s="9">
        <v>247</v>
      </c>
      <c r="F20" s="9"/>
      <c r="G20" s="10">
        <f t="shared" si="0"/>
        <v>2.5520805583675209E-2</v>
      </c>
      <c r="H20" s="8">
        <f t="shared" si="1"/>
        <v>9.6213437050455539</v>
      </c>
      <c r="I20" s="8">
        <f t="shared" si="6"/>
        <v>10</v>
      </c>
      <c r="J20" s="8">
        <f t="shared" si="7"/>
        <v>5</v>
      </c>
      <c r="K20" s="8">
        <f t="shared" si="8"/>
        <v>6</v>
      </c>
      <c r="L20" s="11">
        <f t="shared" si="5"/>
        <v>11</v>
      </c>
    </row>
    <row r="21" spans="1:12" x14ac:dyDescent="0.2">
      <c r="A21" s="17"/>
      <c r="B21" s="8" t="s">
        <v>26</v>
      </c>
      <c r="C21" s="9">
        <v>133</v>
      </c>
      <c r="D21" s="9">
        <v>67</v>
      </c>
      <c r="E21" s="9">
        <v>66</v>
      </c>
      <c r="F21" s="9"/>
      <c r="G21" s="10">
        <f t="shared" si="0"/>
        <v>7.0861526985987536E-3</v>
      </c>
      <c r="H21" s="8">
        <f t="shared" si="1"/>
        <v>2.6714795673717302</v>
      </c>
      <c r="I21" s="8">
        <f t="shared" si="6"/>
        <v>3</v>
      </c>
      <c r="J21" s="8">
        <f t="shared" si="7"/>
        <v>2</v>
      </c>
      <c r="K21" s="8">
        <f t="shared" si="8"/>
        <v>2</v>
      </c>
      <c r="L21" s="11">
        <f t="shared" si="5"/>
        <v>4</v>
      </c>
    </row>
    <row r="22" spans="1:12" x14ac:dyDescent="0.2">
      <c r="A22" s="17"/>
      <c r="B22" s="8" t="s">
        <v>28</v>
      </c>
      <c r="C22" s="9">
        <v>144</v>
      </c>
      <c r="D22" s="9">
        <v>69</v>
      </c>
      <c r="E22" s="9">
        <v>75</v>
      </c>
      <c r="F22" s="9"/>
      <c r="G22" s="10">
        <f t="shared" si="0"/>
        <v>7.6722254781821089E-3</v>
      </c>
      <c r="H22" s="8">
        <f t="shared" si="1"/>
        <v>2.8924290052746549</v>
      </c>
      <c r="I22" s="8">
        <f t="shared" si="6"/>
        <v>3</v>
      </c>
      <c r="J22" s="8">
        <f t="shared" si="7"/>
        <v>2</v>
      </c>
      <c r="K22" s="8">
        <f t="shared" si="8"/>
        <v>2</v>
      </c>
      <c r="L22" s="11">
        <f t="shared" si="5"/>
        <v>4</v>
      </c>
    </row>
    <row r="23" spans="1:12" x14ac:dyDescent="0.2">
      <c r="A23" s="17"/>
      <c r="B23" s="8" t="s">
        <v>17</v>
      </c>
      <c r="C23" s="9">
        <v>697</v>
      </c>
      <c r="D23" s="9">
        <v>331</v>
      </c>
      <c r="E23" s="9">
        <v>366</v>
      </c>
      <c r="F23" s="9"/>
      <c r="G23" s="10">
        <f t="shared" si="0"/>
        <v>3.7135702488145343E-2</v>
      </c>
      <c r="H23" s="8">
        <f t="shared" si="1"/>
        <v>14.000159838030795</v>
      </c>
      <c r="I23" s="8">
        <f t="shared" si="6"/>
        <v>15</v>
      </c>
      <c r="J23" s="8">
        <f t="shared" si="7"/>
        <v>8</v>
      </c>
      <c r="K23" s="8">
        <f t="shared" si="8"/>
        <v>8</v>
      </c>
      <c r="L23" s="11">
        <f t="shared" si="5"/>
        <v>16</v>
      </c>
    </row>
    <row r="24" spans="1:12" x14ac:dyDescent="0.2">
      <c r="A24" s="17"/>
      <c r="B24" s="8" t="s">
        <v>22</v>
      </c>
      <c r="C24" s="9">
        <v>41</v>
      </c>
      <c r="D24" s="9">
        <v>21</v>
      </c>
      <c r="E24" s="9">
        <v>20</v>
      </c>
      <c r="F24" s="9"/>
      <c r="G24" s="10">
        <f t="shared" si="0"/>
        <v>2.1844530875379615E-3</v>
      </c>
      <c r="H24" s="8">
        <f t="shared" si="1"/>
        <v>0.8235388140018115</v>
      </c>
      <c r="I24" s="8">
        <f t="shared" si="6"/>
        <v>1</v>
      </c>
      <c r="J24" s="8">
        <f t="shared" si="7"/>
        <v>1</v>
      </c>
      <c r="K24" s="8">
        <f t="shared" si="8"/>
        <v>1</v>
      </c>
      <c r="L24" s="11">
        <f t="shared" si="5"/>
        <v>2</v>
      </c>
    </row>
    <row r="25" spans="1:12" x14ac:dyDescent="0.2">
      <c r="A25" s="17"/>
      <c r="B25" s="8" t="s">
        <v>29</v>
      </c>
      <c r="C25" s="9">
        <v>344</v>
      </c>
      <c r="D25" s="9">
        <v>167</v>
      </c>
      <c r="E25" s="9">
        <v>177</v>
      </c>
      <c r="F25" s="9"/>
      <c r="G25" s="10">
        <f t="shared" si="0"/>
        <v>1.8328094197879483E-2</v>
      </c>
      <c r="H25" s="8">
        <f t="shared" si="1"/>
        <v>6.9096915126005651</v>
      </c>
      <c r="I25" s="8">
        <f t="shared" si="6"/>
        <v>7</v>
      </c>
      <c r="J25" s="8">
        <f t="shared" si="7"/>
        <v>4</v>
      </c>
      <c r="K25" s="8">
        <f t="shared" si="8"/>
        <v>4</v>
      </c>
      <c r="L25" s="11">
        <f t="shared" si="5"/>
        <v>8</v>
      </c>
    </row>
    <row r="26" spans="1:12" x14ac:dyDescent="0.2">
      <c r="A26" s="17"/>
      <c r="B26" s="8" t="s">
        <v>21</v>
      </c>
      <c r="C26" s="9">
        <v>3341</v>
      </c>
      <c r="D26" s="9">
        <v>1634</v>
      </c>
      <c r="E26" s="9">
        <v>1707</v>
      </c>
      <c r="F26" s="9"/>
      <c r="G26" s="10">
        <f t="shared" si="0"/>
        <v>0.17800628696254461</v>
      </c>
      <c r="H26" s="8">
        <f t="shared" si="1"/>
        <v>67.10837018487932</v>
      </c>
      <c r="I26" s="8">
        <f t="shared" si="6"/>
        <v>68</v>
      </c>
      <c r="J26" s="8">
        <f t="shared" si="7"/>
        <v>34</v>
      </c>
      <c r="K26" s="8">
        <f t="shared" si="8"/>
        <v>35</v>
      </c>
      <c r="L26" s="11">
        <f t="shared" si="5"/>
        <v>69</v>
      </c>
    </row>
    <row r="27" spans="1:12" x14ac:dyDescent="0.2">
      <c r="L27" s="5"/>
    </row>
    <row r="28" spans="1:12" x14ac:dyDescent="0.2">
      <c r="A28" s="2"/>
      <c r="B28" s="12" t="s">
        <v>46</v>
      </c>
      <c r="C28" s="13">
        <f>SUM(C9:C26)</f>
        <v>18769</v>
      </c>
      <c r="D28" s="13">
        <f>SUM(D9:D26)</f>
        <v>9297</v>
      </c>
      <c r="E28" s="13">
        <f>SUM(E9:E26)</f>
        <v>9472</v>
      </c>
      <c r="F28" s="12"/>
      <c r="G28" s="14">
        <f>SUM(G9:G26)</f>
        <v>1</v>
      </c>
      <c r="H28" s="13" cm="1">
        <f t="array" ref="H28">ROUNDUP(SampleSize(C28,$K$4,$K$5),0)</f>
        <v>377</v>
      </c>
      <c r="I28" s="13">
        <f>SUM(I9:I26)</f>
        <v>384</v>
      </c>
      <c r="J28" s="13">
        <f>SUM(J9:J26)</f>
        <v>199</v>
      </c>
      <c r="K28" s="13">
        <f>SUM(K9:K26)</f>
        <v>203</v>
      </c>
      <c r="L28" s="15">
        <f>SUM(L9:L26)</f>
        <v>402</v>
      </c>
    </row>
    <row r="29" spans="1:12" x14ac:dyDescent="0.2">
      <c r="F29" s="3"/>
    </row>
  </sheetData>
  <mergeCells count="3">
    <mergeCell ref="A12:A14"/>
    <mergeCell ref="A16:A18"/>
    <mergeCell ref="A19:A26"/>
  </mergeCells>
  <pageMargins left="0.25" right="0.25" top="0.75" bottom="0.75" header="0.3" footer="0.3"/>
  <pageSetup paperSize="9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Nucleos_pequeños</vt:lpstr>
      <vt:lpstr>Nucleos grandes (sin Tegueste)</vt:lpstr>
      <vt:lpstr>Nucleos grandes (inc. Tegueste)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Carlos Javier Pérez González</cp:lastModifiedBy>
  <cp:revision>0</cp:revision>
  <cp:lastPrinted>2024-10-25T13:34:51Z</cp:lastPrinted>
  <dcterms:created xsi:type="dcterms:W3CDTF">2024-03-18T18:13:35Z</dcterms:created>
  <dcterms:modified xsi:type="dcterms:W3CDTF">2024-10-28T19:23:22Z</dcterms:modified>
</cp:coreProperties>
</file>